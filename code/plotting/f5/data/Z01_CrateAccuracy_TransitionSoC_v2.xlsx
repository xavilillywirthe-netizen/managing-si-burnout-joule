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darwan/Library/Mobile Documents/com~apple~CloudDocs/Research/05_Silicon_eSoH_Algorithm/figure_export/"/>
    </mc:Choice>
  </mc:AlternateContent>
  <xr:revisionPtr revIDLastSave="0" documentId="13_ncr:1_{1FF604DF-5E17-A142-A440-2FF26C1A3B04}" xr6:coauthVersionLast="47" xr6:coauthVersionMax="47" xr10:uidLastSave="{00000000-0000-0000-0000-000000000000}"/>
  <bookViews>
    <workbookView xWindow="-24640" yWindow="520" windowWidth="22060" windowHeight="15220" activeTab="3" xr2:uid="{4902726D-C312-8140-B247-8B974D0A8412}"/>
  </bookViews>
  <sheets>
    <sheet name="BOL_Rs" sheetId="1" r:id="rId1"/>
    <sheet name="EOL_Rs" sheetId="2" r:id="rId2"/>
    <sheet name="BOL_Rs_real" sheetId="3" r:id="rId3"/>
    <sheet name="EOL_Rs_real" sheetId="4" r:id="rId4"/>
    <sheet name="BOL_0" sheetId="5" r:id="rId5"/>
    <sheet name="EOL_0" sheetId="6" r:id="rId6"/>
    <sheet name="BOL_all" sheetId="7" r:id="rId7"/>
    <sheet name="EOL_all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3" i="2"/>
  <c r="G4" i="2"/>
  <c r="G2" i="2"/>
  <c r="G3" i="1"/>
  <c r="G4" i="1"/>
  <c r="G5" i="1"/>
  <c r="G2" i="1"/>
  <c r="F3" i="7"/>
  <c r="F4" i="7"/>
  <c r="F5" i="7"/>
  <c r="F2" i="7"/>
</calcChain>
</file>

<file path=xl/sharedStrings.xml><?xml version="1.0" encoding="utf-8"?>
<sst xmlns="http://schemas.openxmlformats.org/spreadsheetml/2006/main" count="48" uniqueCount="7">
  <si>
    <t>Csi</t>
  </si>
  <si>
    <t>Cgr</t>
  </si>
  <si>
    <t>Cn</t>
  </si>
  <si>
    <t>Cp</t>
  </si>
  <si>
    <t>LLI</t>
  </si>
  <si>
    <t>Average Error</t>
  </si>
  <si>
    <t>Transition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</si>
</sst>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8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41A5-71F8-1148-89C8-4C8C436F66D1}">
  <dimension ref="A1:G5"/>
  <sheetViews>
    <sheetView workbookViewId="0">
      <selection activeCell="F13" sqref="F13"/>
    </sheetView>
  </sheetViews>
  <sheetFormatPr baseColWidth="10" defaultRowHeight="16" x14ac:dyDescent="0.2"/>
  <cols>
    <col min="6" max="6" width="21.5" customWidth="1"/>
  </cols>
  <sheetData>
    <row r="1" spans="1:7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24" x14ac:dyDescent="0.3">
      <c r="A2">
        <v>1.2281477246507899</v>
      </c>
      <c r="B2">
        <v>2.90547618374175</v>
      </c>
      <c r="C2">
        <v>0.87671709027545996</v>
      </c>
      <c r="D2">
        <v>0.49381192532588403</v>
      </c>
      <c r="E2">
        <v>0.358422782919597</v>
      </c>
      <c r="F2">
        <v>0.72630149394851096</v>
      </c>
      <c r="G2" s="2">
        <f>AVERAGE(A2:F2)</f>
        <v>1.0981462001436653</v>
      </c>
    </row>
    <row r="3" spans="1:7" ht="24" x14ac:dyDescent="0.3">
      <c r="A3">
        <v>10.4045432260436</v>
      </c>
      <c r="B3">
        <v>5.8459540023830803</v>
      </c>
      <c r="C3">
        <v>2.12950366350658</v>
      </c>
      <c r="D3">
        <v>0.56515279132565999</v>
      </c>
      <c r="E3">
        <v>2.47423894561441</v>
      </c>
      <c r="F3">
        <v>2.6266999024660498</v>
      </c>
      <c r="G3" s="2">
        <f t="shared" ref="G3:G5" si="0">AVERAGE(A3:F3)</f>
        <v>4.0076820885565629</v>
      </c>
    </row>
    <row r="4" spans="1:7" ht="24" x14ac:dyDescent="0.3">
      <c r="A4">
        <v>2.3183383012124201</v>
      </c>
      <c r="B4">
        <v>7.4843139523996003</v>
      </c>
      <c r="C4">
        <v>4.94889396294466</v>
      </c>
      <c r="D4">
        <v>2.6333142606424098</v>
      </c>
      <c r="E4">
        <v>1.1916013362576701</v>
      </c>
      <c r="F4">
        <v>0.45265185919816098</v>
      </c>
      <c r="G4" s="2">
        <f t="shared" si="0"/>
        <v>3.1715189454424872</v>
      </c>
    </row>
    <row r="5" spans="1:7" ht="24" x14ac:dyDescent="0.3">
      <c r="A5">
        <v>8.1178728209394695</v>
      </c>
      <c r="B5">
        <v>6.2209830785301001</v>
      </c>
      <c r="C5">
        <v>7.1519107528430901</v>
      </c>
      <c r="D5">
        <v>2.6333142606424098</v>
      </c>
      <c r="E5">
        <v>0.210736354429579</v>
      </c>
      <c r="F5">
        <v>2.0324775709508298</v>
      </c>
      <c r="G5" s="2">
        <f t="shared" si="0"/>
        <v>4.3945491397225789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B41A-8517-804F-B401-6F76491C400A}">
  <dimension ref="A1:G5"/>
  <sheetViews>
    <sheetView workbookViewId="0">
      <selection activeCell="G10" sqref="G10"/>
    </sheetView>
  </sheetViews>
  <sheetFormatPr baseColWidth="10" defaultRowHeight="16" x14ac:dyDescent="0.2"/>
  <sheetData>
    <row r="1" spans="1:7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ht="24" x14ac:dyDescent="0.3">
      <c r="A2">
        <v>1.5762358527987299</v>
      </c>
      <c r="B2">
        <v>5.8159084530565401</v>
      </c>
      <c r="C2">
        <v>2.1879574594949198</v>
      </c>
      <c r="D2">
        <v>1.29197429305557</v>
      </c>
      <c r="E2">
        <v>1.45319515066201</v>
      </c>
      <c r="F2">
        <v>0.131449326734384</v>
      </c>
      <c r="G2" s="2">
        <f>AVERAGE(A2:F2)</f>
        <v>2.0761200893003591</v>
      </c>
    </row>
    <row r="3" spans="1:7" ht="24" x14ac:dyDescent="0.3">
      <c r="A3">
        <v>4.6478246117499502</v>
      </c>
      <c r="B3">
        <v>11.643586524510701</v>
      </c>
      <c r="C3">
        <v>3.64801146207911</v>
      </c>
      <c r="D3">
        <v>2.5326981886931299</v>
      </c>
      <c r="E3">
        <v>0.83757738521062397</v>
      </c>
      <c r="F3">
        <v>1.8861086319450799</v>
      </c>
      <c r="G3" s="2">
        <f t="shared" ref="G3:G4" si="0">AVERAGE(A3:F3)</f>
        <v>4.1993011340314323</v>
      </c>
    </row>
    <row r="4" spans="1:7" ht="24" x14ac:dyDescent="0.3">
      <c r="A4">
        <v>2.0957715851093202</v>
      </c>
      <c r="B4">
        <v>13.942249528801</v>
      </c>
      <c r="C4">
        <v>6.0710353945914699</v>
      </c>
      <c r="D4">
        <v>0.46656036760526498</v>
      </c>
      <c r="E4">
        <v>0.92250004227453897</v>
      </c>
      <c r="F4">
        <v>0.27548287173488301</v>
      </c>
      <c r="G4" s="2">
        <f t="shared" si="0"/>
        <v>3.9622666316860791</v>
      </c>
    </row>
    <row r="5" spans="1:7" ht="24" x14ac:dyDescent="0.3">
      <c r="A5">
        <v>1.57254622349947</v>
      </c>
      <c r="B5">
        <v>19.026904350628801</v>
      </c>
      <c r="C5">
        <v>8.9170112269721997</v>
      </c>
      <c r="D5">
        <v>2.4941572726000101</v>
      </c>
      <c r="E5">
        <v>1.54106018386471</v>
      </c>
      <c r="F5">
        <v>0.55826551673129299</v>
      </c>
      <c r="G5" s="2">
        <f>AVERAGE(A5:F5)</f>
        <v>5.6849907957160815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A7B4-40C6-254B-A1E9-6F00B6A05134}">
  <dimension ref="A1:E5"/>
  <sheetViews>
    <sheetView workbookViewId="0">
      <selection activeCell="F14" sqref="F14"/>
    </sheetView>
  </sheetViews>
  <sheetFormatPr baseColWidth="10" defaultRowHeight="16" x14ac:dyDescent="0.2"/>
  <sheetData>
    <row r="1" spans="1:5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1.2281477246507899</v>
      </c>
      <c r="B2">
        <v>-2.90547618374175</v>
      </c>
      <c r="C2">
        <v>-0.87671709027545996</v>
      </c>
      <c r="D2">
        <v>0.49381192532588403</v>
      </c>
      <c r="E2">
        <v>0.358422782919597</v>
      </c>
    </row>
    <row r="3" spans="1:5" x14ac:dyDescent="0.2">
      <c r="A3">
        <v>-10.4045432260436</v>
      </c>
      <c r="B3">
        <v>5.8459540023830803</v>
      </c>
      <c r="C3">
        <v>-2.12950366350658</v>
      </c>
      <c r="D3">
        <v>0.56515279132565999</v>
      </c>
      <c r="E3">
        <v>2.47423894561441</v>
      </c>
    </row>
    <row r="4" spans="1:5" x14ac:dyDescent="0.2">
      <c r="A4">
        <v>-2.3183383012124201</v>
      </c>
      <c r="B4">
        <v>-7.4843139523996003</v>
      </c>
      <c r="C4">
        <v>-4.94889396294466</v>
      </c>
      <c r="D4">
        <v>2.6333142606424098</v>
      </c>
      <c r="E4">
        <v>1.1916013362576701</v>
      </c>
    </row>
    <row r="5" spans="1:5" x14ac:dyDescent="0.2">
      <c r="A5">
        <v>-8.1178728209394695</v>
      </c>
      <c r="B5">
        <v>-6.2209830785301001</v>
      </c>
      <c r="C5">
        <v>-7.1519107528430901</v>
      </c>
      <c r="D5">
        <v>2.6333142606424098</v>
      </c>
      <c r="E5">
        <v>-0.210736354429579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54D0-5E62-D344-872D-512B4D0B3C27}">
  <dimension ref="A1:E5"/>
  <sheetViews>
    <sheetView tabSelected="1" workbookViewId="0">
      <selection activeCell="G5" sqref="G5"/>
    </sheetView>
  </sheetViews>
  <sheetFormatPr baseColWidth="10" defaultRowHeight="16" x14ac:dyDescent="0.2"/>
  <sheetData>
    <row r="1" spans="1:5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1.5762358527987299</v>
      </c>
      <c r="B2">
        <v>-5.8159084530565401</v>
      </c>
      <c r="C2">
        <v>-2.1879574594949198</v>
      </c>
      <c r="D2">
        <v>1.29197429305557</v>
      </c>
      <c r="E2">
        <v>-1.45319515066201</v>
      </c>
    </row>
    <row r="3" spans="1:5" x14ac:dyDescent="0.2">
      <c r="A3">
        <v>4.6478246117499502</v>
      </c>
      <c r="B3">
        <v>-11.643586524510701</v>
      </c>
      <c r="C3">
        <v>-3.64801146207911</v>
      </c>
      <c r="D3">
        <v>-2.5326981886931299</v>
      </c>
      <c r="E3">
        <v>0.83757738521062397</v>
      </c>
    </row>
    <row r="4" spans="1:5" x14ac:dyDescent="0.2">
      <c r="A4">
        <v>2.0957715851093202</v>
      </c>
      <c r="B4">
        <v>-13.942249528801</v>
      </c>
      <c r="C4">
        <v>-6.0710353945914699</v>
      </c>
      <c r="D4">
        <v>0.46656036760526498</v>
      </c>
      <c r="E4">
        <v>-0.92250004227453897</v>
      </c>
    </row>
    <row r="5" spans="1:5" x14ac:dyDescent="0.2">
      <c r="A5">
        <v>1.57254622349947</v>
      </c>
      <c r="B5">
        <v>-19.026904350628801</v>
      </c>
      <c r="C5">
        <v>-8.9170112269721997</v>
      </c>
      <c r="D5">
        <v>2.4941572726000101</v>
      </c>
      <c r="E5">
        <v>-1.54106018386471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7A7B-1255-9F44-AED1-7FD4C836F334}">
  <dimension ref="A1:F5"/>
  <sheetViews>
    <sheetView workbookViewId="0">
      <selection activeCell="F2" sqref="F2:F5"/>
    </sheetView>
  </sheetViews>
  <sheetFormatPr baseColWidth="10" defaultRowHeight="16" x14ac:dyDescent="0.2"/>
  <sheetData>
    <row r="1" spans="1:6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6.559305831311138E-2</v>
      </c>
      <c r="B2">
        <v>6.0199672180002967E-2</v>
      </c>
      <c r="C2">
        <v>3.1086932385921921E-3</v>
      </c>
      <c r="D2">
        <v>7.9210194007575552E-3</v>
      </c>
      <c r="E2">
        <v>1.5884166569098145E-2</v>
      </c>
      <c r="F2">
        <v>3.0541321940312449E-2</v>
      </c>
    </row>
    <row r="3" spans="1:6" x14ac:dyDescent="0.2">
      <c r="A3">
        <v>4.1032428855062919E-2</v>
      </c>
      <c r="B3">
        <v>0.17352108478617187</v>
      </c>
      <c r="C3">
        <v>6.5541615780318932E-2</v>
      </c>
      <c r="D3">
        <v>1.5421115065243095E-2</v>
      </c>
      <c r="E3">
        <v>3.7388283963626472E-2</v>
      </c>
      <c r="F3">
        <v>6.6580905690084652E-2</v>
      </c>
    </row>
    <row r="4" spans="1:6" x14ac:dyDescent="0.2">
      <c r="A4">
        <v>7.1622913449518461E-2</v>
      </c>
      <c r="B4">
        <v>0.24146922962300688</v>
      </c>
      <c r="C4">
        <v>8.3897709189149058E-2</v>
      </c>
      <c r="D4">
        <v>2.5944208472046697E-2</v>
      </c>
      <c r="E4">
        <v>2.9309604652070383E-2</v>
      </c>
      <c r="F4">
        <v>9.0448733077158297E-2</v>
      </c>
    </row>
    <row r="5" spans="1:6" x14ac:dyDescent="0.2">
      <c r="A5">
        <v>0.13971615559967657</v>
      </c>
      <c r="B5">
        <v>0.48666368648487557</v>
      </c>
      <c r="C5">
        <v>0.17142222715665578</v>
      </c>
      <c r="D5">
        <v>4.7526116404545835E-2</v>
      </c>
      <c r="E5">
        <v>3.4266089060609649E-2</v>
      </c>
      <c r="F5">
        <v>0.17591885494127268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5F3D0-B508-2545-9109-698F468A6162}">
  <dimension ref="A1:F5"/>
  <sheetViews>
    <sheetView workbookViewId="0">
      <selection activeCell="J21" sqref="J21"/>
    </sheetView>
  </sheetViews>
  <sheetFormatPr baseColWidth="10" defaultRowHeight="16" x14ac:dyDescent="0.2"/>
  <sheetData>
    <row r="1" spans="1:6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1.3567028454092109E-2</v>
      </c>
      <c r="B2">
        <v>2.2617974150886698E-2</v>
      </c>
      <c r="C2">
        <v>1.8037410926365786E-2</v>
      </c>
      <c r="D2">
        <v>1.79071283408106E-2</v>
      </c>
      <c r="E2">
        <v>2.6214160327676976E-2</v>
      </c>
      <c r="F2">
        <v>1.9668740439966435E-2</v>
      </c>
    </row>
    <row r="3" spans="1:6" x14ac:dyDescent="0.2">
      <c r="A3">
        <v>0.12863009680258142</v>
      </c>
      <c r="B3">
        <v>0.14525097685602648</v>
      </c>
      <c r="C3">
        <v>6.6062945368171163E-3</v>
      </c>
      <c r="D3">
        <v>2.039955519766859E-2</v>
      </c>
      <c r="E3">
        <v>1.1000585137507317E-2</v>
      </c>
      <c r="F3">
        <v>6.2377501706120185E-2</v>
      </c>
    </row>
    <row r="4" spans="1:6" x14ac:dyDescent="0.2">
      <c r="A4">
        <v>0.11476972719272514</v>
      </c>
      <c r="B4">
        <v>0.19461977757739715</v>
      </c>
      <c r="C4">
        <v>3.8004750593824244E-2</v>
      </c>
      <c r="D4">
        <v>2.4157367997239051E-3</v>
      </c>
      <c r="E4">
        <v>4.7981275599765949E-2</v>
      </c>
      <c r="F4">
        <v>7.955825355268728E-2</v>
      </c>
    </row>
    <row r="5" spans="1:6" x14ac:dyDescent="0.2">
      <c r="A5">
        <v>3.3294221179231448E-2</v>
      </c>
      <c r="B5">
        <v>3.8397956116621522E-2</v>
      </c>
      <c r="C5">
        <v>3.5852137767220911E-2</v>
      </c>
      <c r="D5">
        <v>3.8728478852716737E-3</v>
      </c>
      <c r="E5">
        <v>0.10239906377998828</v>
      </c>
      <c r="F5">
        <v>4.2763245345666764E-2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1AD3-569C-EE4E-9847-948EDB04F504}">
  <dimension ref="A1:F5"/>
  <sheetViews>
    <sheetView workbookViewId="0">
      <selection activeCell="G5" sqref="G1:G5"/>
    </sheetView>
  </sheetViews>
  <sheetFormatPr baseColWidth="10" defaultRowHeight="16" x14ac:dyDescent="0.2"/>
  <cols>
    <col min="6" max="6" width="25.33203125" customWidth="1"/>
    <col min="7" max="7" width="28" customWidth="1"/>
  </cols>
  <sheetData>
    <row r="1" spans="1:6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2.5667351129363556E-2</v>
      </c>
      <c r="B2">
        <v>1.006913134956423E-2</v>
      </c>
      <c r="C2">
        <v>1.7963182897862234E-2</v>
      </c>
      <c r="D2">
        <v>1.4954561141148957E-3</v>
      </c>
      <c r="E2">
        <v>2.5629022820362821E-2</v>
      </c>
      <c r="F2">
        <f>AVERAGE(A2:E2)</f>
        <v>1.6164828862253549E-2</v>
      </c>
    </row>
    <row r="3" spans="1:6" x14ac:dyDescent="0.2">
      <c r="A3">
        <v>0.20856556174831328</v>
      </c>
      <c r="B3">
        <v>0.23812744214006609</v>
      </c>
      <c r="C3">
        <v>1.2062054631828887E-2</v>
      </c>
      <c r="D3">
        <v>1.5568081598220779E-2</v>
      </c>
      <c r="E3">
        <v>5.1570118977959857E-2</v>
      </c>
      <c r="F3">
        <f t="shared" ref="F3:F5" si="0">AVERAGE(A3:E3)</f>
        <v>0.1051786518192778</v>
      </c>
    </row>
    <row r="4" spans="1:6" x14ac:dyDescent="0.2">
      <c r="A4">
        <v>0.30148137283660903</v>
      </c>
      <c r="B4">
        <v>0.36346558461076045</v>
      </c>
      <c r="C4">
        <v>2.6944774346793349E-2</v>
      </c>
      <c r="D4">
        <v>5.7900993136239471E-3</v>
      </c>
      <c r="E4">
        <v>6.0347181587673132E-2</v>
      </c>
      <c r="F4">
        <f t="shared" si="0"/>
        <v>0.15160580253909198</v>
      </c>
    </row>
    <row r="5" spans="1:6" x14ac:dyDescent="0.2">
      <c r="A5">
        <v>0.46641243766500451</v>
      </c>
      <c r="B5">
        <v>0.4005109708446048</v>
      </c>
      <c r="C5">
        <v>3.8227434679334996E-2</v>
      </c>
      <c r="D5">
        <v>3.2363204110587074E-2</v>
      </c>
      <c r="E5">
        <v>0.12611663740979137</v>
      </c>
      <c r="F5">
        <f t="shared" si="0"/>
        <v>0.21272613694186454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50F0-77D0-EF4E-AB33-D1AD2B1FBA86}">
  <dimension ref="A1:F1"/>
  <sheetViews>
    <sheetView workbookViewId="0">
      <selection sqref="A1:F1"/>
    </sheetView>
  </sheetViews>
  <sheetFormatPr baseColWidth="10" defaultRowHeight="16" x14ac:dyDescent="0.2"/>
  <sheetData>
    <row r="1" spans="1:6" ht="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BOL_Rs</vt:lpstr>
      <vt:lpstr>EOL_Rs</vt:lpstr>
      <vt:lpstr>BOL_Rs_real</vt:lpstr>
      <vt:lpstr>EOL_Rs_real</vt:lpstr>
      <vt:lpstr>BOL_0</vt:lpstr>
      <vt:lpstr>EOL_0</vt:lpstr>
      <vt:lpstr>BOL_all</vt:lpstr>
      <vt:lpstr>EOL_all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Wan, Zhiwen</dc:creator>
  <cp:lastModifiedBy>Wan, Zhiwen</cp:lastModifiedBy>
  <dcterms:created xsi:type="dcterms:W3CDTF">2025-11-27T21:34:32Z</dcterms:created>
  <dcterms:modified xsi:type="dcterms:W3CDTF">2026-04-10T02:56:51Z</dcterms:modified>
</cp:coreProperties>
</file>